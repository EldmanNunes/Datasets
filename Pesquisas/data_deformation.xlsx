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DE RESULTADOS " sheetId="1" r:id="rId5"/>
    <sheet state="hidden" name="RESUMEN DE RESULTADOS0000" sheetId="2" r:id="rId6"/>
  </sheets>
  <definedNames/>
  <calcPr/>
</workbook>
</file>

<file path=xl/sharedStrings.xml><?xml version="1.0" encoding="utf-8"?>
<sst xmlns="http://schemas.openxmlformats.org/spreadsheetml/2006/main" count="57" uniqueCount="50">
  <si>
    <t>RESUMEN DE RESULTADOS</t>
  </si>
  <si>
    <t>resistance</t>
  </si>
  <si>
    <t>ductility</t>
  </si>
  <si>
    <t>period</t>
  </si>
  <si>
    <t>deformation</t>
  </si>
  <si>
    <t>Nº DE CASO</t>
  </si>
  <si>
    <t>INFRAESTRUTURA ESCOLAR</t>
  </si>
  <si>
    <t>Periodo (seg)</t>
  </si>
  <si>
    <t>Factor de vulnerabilidad por efectos del sitio Fves</t>
  </si>
  <si>
    <t>Coeficiente Sísmico c(resistencia)</t>
  </si>
  <si>
    <t>Q (ductilidad)</t>
  </si>
  <si>
    <t>Deformación de falla equivalente ufe (cm)</t>
  </si>
  <si>
    <t>H (cm)</t>
  </si>
  <si>
    <t>distorsión global</t>
  </si>
  <si>
    <t>U</t>
  </si>
  <si>
    <t>a</t>
  </si>
  <si>
    <t>m</t>
  </si>
  <si>
    <t>d(u)</t>
  </si>
  <si>
    <t>d(u) %</t>
  </si>
  <si>
    <t>periodo suelo        (seg)</t>
  </si>
  <si>
    <t>Factor de vulnerabilidad por efectos del sitio Fves (Filtrado)</t>
  </si>
  <si>
    <t>CBTIS 211 Edificio D</t>
  </si>
  <si>
    <t>Acero</t>
  </si>
  <si>
    <t>CBTIS 211 Edificio E</t>
  </si>
  <si>
    <t>CBTIS 212 Tetla</t>
  </si>
  <si>
    <t>REVISAR GRAFICA</t>
  </si>
  <si>
    <t>Tec. de Apizaco Edificio B</t>
  </si>
  <si>
    <t>Tec. de Apizaco Edificio G</t>
  </si>
  <si>
    <t>Villahermosa Edifico H</t>
  </si>
  <si>
    <t>UPAEP Prepa Cholula</t>
  </si>
  <si>
    <t>UPAEP Prepa Santiago</t>
  </si>
  <si>
    <t>UPAEP Prepa Chiautempan</t>
  </si>
  <si>
    <t>UPAEP Prepa Angelopolis</t>
  </si>
  <si>
    <t>UPAEP Complejo de ingenierias</t>
  </si>
  <si>
    <t>Escuela Secundaria 3 CDMX</t>
  </si>
  <si>
    <t>UPAEP Edificio A</t>
  </si>
  <si>
    <t>UPAEP Edificio B</t>
  </si>
  <si>
    <t>UPAEP Edificio C</t>
  </si>
  <si>
    <t xml:space="preserve">UPAEP Edificio T </t>
  </si>
  <si>
    <t>UPAEP Posgrados</t>
  </si>
  <si>
    <t xml:space="preserve">UPAEP Rectoria </t>
  </si>
  <si>
    <t>Seminario Palafoxiano</t>
  </si>
  <si>
    <t>PENDIENTE Diego Herrera</t>
  </si>
  <si>
    <t>PENDIENTE Jesus Edgar</t>
  </si>
  <si>
    <t>PENDIENTE Vero Cancino</t>
  </si>
  <si>
    <t>PENDIENTE Jose Blanca</t>
  </si>
  <si>
    <t>PENDIENTE Dulce Ramirez</t>
  </si>
  <si>
    <t>PENDIENTE Giovani</t>
  </si>
  <si>
    <t>PROFE CONCRETO</t>
  </si>
  <si>
    <t>PROFE MAMPOSTERIA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</si>
</sst>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0"/>
    <numFmt numFmtId="165" formatCode="0.000"/>
    <numFmt numFmtId="166" formatCode="0.000000"/>
    <numFmt numFmtId="167" formatCode="0.0000000"/>
  </numFmts>
  <fonts count="7">
    <font>
      <sz val="11.0"/>
      <color theme="1"/>
      <name val="Calibri"/>
      <scheme val="minor"/>
    </font>
    <font>
      <b/>
      <sz val="12.0"/>
      <color rgb="FF000000"/>
      <name val="Calibri"/>
    </font>
    <font/>
    <font>
      <sz val="11.0"/>
      <color theme="1"/>
      <name val="Calibri"/>
    </font>
    <font>
      <b/>
      <sz val="11.0"/>
      <color rgb="FFFF0000"/>
      <name val="Calibri"/>
    </font>
    <font>
      <b/>
      <i/>
      <sz val="11.0"/>
      <color rgb="FFFF0000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CC2E5"/>
        <bgColor rgb="FF9CC2E5"/>
      </patternFill>
    </fill>
    <fill>
      <patternFill patternType="solid">
        <fgColor rgb="FFFFFF00"/>
        <bgColor rgb="FFFFFF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3" fontId="1" numFmtId="0" xfId="0" applyAlignment="1" applyBorder="1" applyFill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1" fillId="3" fontId="1" numFmtId="0" xfId="0" applyAlignment="1" applyBorder="1" applyFill="1" applyFont="1">
      <alignment horizontal="center" shrinkToFit="0" vertical="center" wrapText="1"/>
    </xf>
    <xf borderId="5" fillId="0" fontId="3" numFmtId="2" xfId="0" applyAlignment="1" applyBorder="1" applyFont="1" applyNumberFormat="1">
      <alignment horizontal="center" vertical="center"/>
    </xf>
    <xf borderId="5" fillId="0" fontId="3" numFmtId="0" xfId="0" applyAlignment="1" applyBorder="1" applyFont="1">
      <alignment horizontal="center" vertical="center"/>
    </xf>
    <xf borderId="5" fillId="0" fontId="3" numFmtId="164" xfId="0" applyAlignment="1" applyBorder="1" applyFont="1" applyNumberFormat="1">
      <alignment horizontal="center" vertical="center"/>
    </xf>
    <xf borderId="6" fillId="3" fontId="1" numFmtId="0" xfId="0" applyAlignment="1" applyBorder="1" applyFill="1" applyFont="1">
      <alignment horizontal="center" shrinkToFit="0" vertical="center" wrapText="1"/>
    </xf>
    <xf borderId="5" fillId="0" fontId="3" numFmtId="165" xfId="0" applyAlignment="1" applyBorder="1" applyFont="1" applyNumberFormat="1">
      <alignment horizontal="center" vertical="center"/>
    </xf>
    <xf borderId="7" fillId="0" fontId="2" numFmtId="0" xfId="0" applyBorder="1" applyFont="1"/>
    <xf borderId="0" fillId="0" fontId="3" numFmtId="0" xfId="0" applyFont="1"/>
    <xf borderId="8" fillId="3" fontId="1" numFmtId="0" xfId="0" applyAlignment="1" applyBorder="1" applyFill="1" applyFont="1">
      <alignment horizontal="center" shrinkToFit="0" vertical="center" wrapText="1"/>
    </xf>
    <xf borderId="5" fillId="0" fontId="3" numFmtId="166" xfId="0" applyAlignment="1" applyBorder="1" applyFont="1" applyNumberFormat="1">
      <alignment horizontal="center" vertical="center"/>
    </xf>
    <xf borderId="5" fillId="0" fontId="3" numFmtId="167" xfId="0" applyAlignment="1" applyBorder="1" applyFont="1" applyNumberFormat="1">
      <alignment horizontal="center" vertical="center"/>
    </xf>
    <xf borderId="0" fillId="0" fontId="4" numFmtId="0" xfId="0" applyFont="1"/>
    <xf borderId="0" fillId="0" fontId="5" numFmtId="0" xfId="0" applyFont="1"/>
    <xf borderId="1" fillId="0" fontId="3" numFmtId="164" xfId="0" applyAlignment="1" applyBorder="1" applyFont="1" applyNumberFormat="1">
      <alignment horizontal="center" vertical="center"/>
    </xf>
    <xf borderId="5" fillId="0" fontId="3" numFmtId="166" xfId="0" applyAlignment="1" applyBorder="1" applyFont="1" applyNumberFormat="1">
      <alignment horizontal="center"/>
    </xf>
    <xf borderId="5" fillId="0" fontId="3" numFmtId="1" xfId="0" applyAlignment="1" applyBorder="1" applyFont="1" applyNumberFormat="1">
      <alignment horizontal="center" vertical="center"/>
    </xf>
    <xf borderId="9" fillId="0" fontId="2" numFmtId="0" xfId="0" applyBorder="1" applyFont="1"/>
    <xf borderId="5" fillId="4" fontId="3" numFmtId="166" xfId="0" applyAlignment="1" applyBorder="1" applyFill="1" applyFont="1" applyNumberFormat="1">
      <alignment horizontal="center" vertical="center"/>
    </xf>
    <xf borderId="5" fillId="4" fontId="3" numFmtId="2" xfId="0" applyAlignment="1" applyBorder="1" applyFill="1" applyFont="1" applyNumberFormat="1">
      <alignment horizontal="center" vertical="center"/>
    </xf>
    <xf borderId="5" fillId="4" fontId="3" numFmtId="0" xfId="0" applyAlignment="1" applyBorder="1" applyFill="1" applyFont="1">
      <alignment horizontal="center" vertical="center"/>
    </xf>
    <xf borderId="5" fillId="4" fontId="3" numFmtId="167" xfId="0" applyAlignment="1" applyBorder="1" applyFill="1" applyFont="1" applyNumberFormat="1">
      <alignment horizontal="center" vertical="center"/>
    </xf>
    <xf borderId="5" fillId="4" fontId="3" numFmtId="166" xfId="0" applyAlignment="1" applyBorder="1" applyFill="1" applyFont="1" applyNumberFormat="1">
      <alignment horizontal="center"/>
    </xf>
    <xf borderId="0" fillId="0" fontId="6" numFmtId="0" xfId="0" applyFont="1"/>
    <xf borderId="5" fillId="4" fontId="3" numFmtId="1" xfId="0" applyAlignment="1" applyBorder="1" applyFill="1" applyFont="1" applyNumberFormat="1">
      <alignment horizontal="center" vertical="center"/>
    </xf>
    <xf borderId="5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676275</xdr:colOff>
      <xdr:row>1</xdr:row>
      <xdr:rowOff>180975</xdr:rowOff>
    </xdr:from>
    <xdr:ext cx="962025" cy="209550"/>
    <xdr:sp>
      <xdr:nvSpPr>
        <xdr:cNvPr id="3" name="Shape 3"/>
        <xdr:cNvSpPr txBox="1"/>
      </xdr:nvSpPr>
      <xdr:spPr>
        <a:xfrm>
          <a:off x="4869173" y="3678626"/>
          <a:ext cx="953655" cy="202748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676275</xdr:colOff>
      <xdr:row>2</xdr:row>
      <xdr:rowOff>180975</xdr:rowOff>
    </xdr:from>
    <xdr:ext cx="962025" cy="209550"/>
    <xdr:sp>
      <xdr:nvSpPr>
        <xdr:cNvPr id="3" name="Shape 3"/>
        <xdr:cNvSpPr txBox="1"/>
      </xdr:nvSpPr>
      <xdr:spPr>
        <a:xfrm>
          <a:off x="4869173" y="3678626"/>
          <a:ext cx="953655" cy="202748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2.86"/>
    <col customWidth="1" min="3" max="4" width="15.86"/>
    <col customWidth="1" min="5" max="14" width="10.71"/>
  </cols>
  <sheetData>
    <row r="1" ht="29.25" customHeight="1">
      <c r="A1" s="1" t="s">
        <v>1</v>
      </c>
      <c r="B1" s="1" t="s">
        <v>2</v>
      </c>
      <c r="C1" s="1" t="s">
        <v>3</v>
      </c>
      <c r="D1" s="1" t="s">
        <v>4</v>
      </c>
    </row>
    <row r="2" ht="14.25" customHeight="1">
      <c r="A2" s="6">
        <f t="shared" ref="A2:A7" si="1">0.2*1.5</f>
        <v>0.3</v>
      </c>
      <c r="B2" s="7">
        <v>3.0</v>
      </c>
      <c r="C2" s="8">
        <v>0.27692316</v>
      </c>
      <c r="D2" s="10">
        <f t="shared" ref="D2:D21" si="2">((A2)*981*(C2^2)*B2)/(4*PI()^2)</f>
        <v>1.715024536</v>
      </c>
    </row>
    <row r="3" ht="14.25" customHeight="1">
      <c r="A3" s="6">
        <f t="shared" si="1"/>
        <v>0.3</v>
      </c>
      <c r="B3" s="7">
        <v>2.0</v>
      </c>
      <c r="C3" s="8">
        <v>0.11106471</v>
      </c>
      <c r="D3" s="10">
        <f t="shared" si="2"/>
        <v>0.1839131128</v>
      </c>
      <c r="E3" s="12"/>
      <c r="F3" s="12"/>
      <c r="G3" s="12"/>
      <c r="H3" s="12"/>
      <c r="I3" s="12"/>
      <c r="J3" s="12"/>
      <c r="K3" s="12"/>
      <c r="L3" s="12"/>
      <c r="M3" s="12"/>
      <c r="N3" s="12"/>
    </row>
    <row r="4" ht="14.25" customHeight="1">
      <c r="A4" s="6">
        <f t="shared" si="1"/>
        <v>0.3</v>
      </c>
      <c r="B4" s="7">
        <v>2.0</v>
      </c>
      <c r="C4" s="8">
        <v>0.14217228</v>
      </c>
      <c r="D4" s="10">
        <f t="shared" si="2"/>
        <v>0.3013633101</v>
      </c>
      <c r="E4" s="12"/>
      <c r="F4" s="12"/>
      <c r="G4" s="12"/>
      <c r="H4" s="12"/>
      <c r="I4" s="12"/>
      <c r="J4" s="12"/>
      <c r="K4" s="12"/>
      <c r="L4" s="12"/>
      <c r="M4" s="12"/>
      <c r="N4" s="12"/>
    </row>
    <row r="5" ht="14.25" customHeight="1">
      <c r="A5" s="6">
        <f t="shared" si="1"/>
        <v>0.3</v>
      </c>
      <c r="B5" s="7">
        <v>3.0</v>
      </c>
      <c r="C5" s="8">
        <v>0.31331265</v>
      </c>
      <c r="D5" s="10">
        <f t="shared" si="2"/>
        <v>2.195369568</v>
      </c>
      <c r="E5" s="12"/>
      <c r="F5" s="12"/>
      <c r="G5" s="12"/>
      <c r="H5" s="12"/>
      <c r="I5" s="12"/>
      <c r="J5" s="12"/>
      <c r="K5" s="12"/>
      <c r="L5" s="12"/>
      <c r="M5" s="12"/>
      <c r="N5" s="12"/>
    </row>
    <row r="6" ht="14.25" customHeight="1">
      <c r="A6" s="6">
        <f t="shared" si="1"/>
        <v>0.3</v>
      </c>
      <c r="B6" s="7">
        <v>3.0</v>
      </c>
      <c r="C6" s="8">
        <v>0.59538694</v>
      </c>
      <c r="D6" s="10">
        <f t="shared" si="2"/>
        <v>7.927758066</v>
      </c>
      <c r="E6" s="12"/>
      <c r="F6" s="12"/>
      <c r="G6" s="12"/>
      <c r="H6" s="12"/>
      <c r="I6" s="12"/>
      <c r="J6" s="12"/>
      <c r="K6" s="12"/>
      <c r="L6" s="12"/>
      <c r="M6" s="12"/>
      <c r="N6" s="12"/>
    </row>
    <row r="7" ht="14.25" customHeight="1">
      <c r="A7" s="6">
        <f t="shared" si="1"/>
        <v>0.3</v>
      </c>
      <c r="B7" s="7">
        <v>2.0</v>
      </c>
      <c r="C7" s="8">
        <v>0.44270315</v>
      </c>
      <c r="D7" s="10">
        <f t="shared" si="2"/>
        <v>2.922037232</v>
      </c>
      <c r="E7" s="12"/>
      <c r="F7" s="12"/>
      <c r="G7" s="12"/>
      <c r="H7" s="12"/>
      <c r="I7" s="12"/>
      <c r="J7" s="12"/>
      <c r="K7" s="12"/>
      <c r="L7" s="12"/>
      <c r="M7" s="12"/>
      <c r="N7" s="12"/>
    </row>
    <row r="8" ht="14.25" customHeight="1">
      <c r="A8" s="6">
        <f t="shared" ref="A8:A12" si="3">0.3*1.5</f>
        <v>0.45</v>
      </c>
      <c r="B8" s="7">
        <v>2.0</v>
      </c>
      <c r="C8" s="8">
        <v>0.16487611208937605</v>
      </c>
      <c r="D8" s="10">
        <f t="shared" si="2"/>
        <v>0.6079491504</v>
      </c>
      <c r="E8" s="12"/>
      <c r="F8" s="12"/>
      <c r="G8" s="12"/>
      <c r="H8" s="12"/>
      <c r="I8" s="12"/>
      <c r="J8" s="12"/>
      <c r="K8" s="12"/>
      <c r="L8" s="12"/>
      <c r="M8" s="12"/>
      <c r="N8" s="12"/>
    </row>
    <row r="9" ht="14.25" customHeight="1">
      <c r="A9" s="6">
        <f t="shared" si="3"/>
        <v>0.45</v>
      </c>
      <c r="B9" s="7">
        <v>2.0</v>
      </c>
      <c r="C9" s="8">
        <v>0.2008855</v>
      </c>
      <c r="D9" s="10">
        <f t="shared" si="2"/>
        <v>0.902503637</v>
      </c>
      <c r="E9" s="12"/>
      <c r="F9" s="12"/>
      <c r="G9" s="12"/>
      <c r="H9" s="12"/>
      <c r="I9" s="12"/>
      <c r="J9" s="12"/>
      <c r="K9" s="12"/>
      <c r="L9" s="12"/>
      <c r="M9" s="12"/>
      <c r="N9" s="12"/>
    </row>
    <row r="10" ht="14.25" customHeight="1">
      <c r="A10" s="6">
        <f t="shared" si="3"/>
        <v>0.45</v>
      </c>
      <c r="B10" s="7">
        <v>2.0</v>
      </c>
      <c r="C10" s="8">
        <v>0.23296556</v>
      </c>
      <c r="D10" s="10">
        <f t="shared" si="2"/>
        <v>1.21376672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</row>
    <row r="11" ht="14.25" customHeight="1">
      <c r="A11" s="6">
        <f t="shared" si="3"/>
        <v>0.45</v>
      </c>
      <c r="B11" s="7">
        <v>2.0</v>
      </c>
      <c r="C11" s="8">
        <v>0.19661778</v>
      </c>
      <c r="D11" s="10">
        <f t="shared" si="2"/>
        <v>0.8645644155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ht="14.25" customHeight="1">
      <c r="A12" s="6">
        <f t="shared" si="3"/>
        <v>0.45</v>
      </c>
      <c r="B12" s="7">
        <v>3.0</v>
      </c>
      <c r="C12" s="8">
        <v>0.43190574089110795</v>
      </c>
      <c r="D12" s="10">
        <f t="shared" si="2"/>
        <v>6.257790111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ht="14.25" customHeight="1">
      <c r="A13" s="6">
        <f t="shared" ref="A13:A15" si="4">0.2*1.5</f>
        <v>0.3</v>
      </c>
      <c r="B13" s="7">
        <v>2.0</v>
      </c>
      <c r="C13" s="8">
        <v>0.33515995508856605</v>
      </c>
      <c r="D13" s="10">
        <f t="shared" si="2"/>
        <v>1.674807003</v>
      </c>
      <c r="E13" s="16"/>
    </row>
    <row r="14" ht="14.25" customHeight="1">
      <c r="A14" s="6">
        <f t="shared" si="4"/>
        <v>0.3</v>
      </c>
      <c r="B14" s="7">
        <v>2.0</v>
      </c>
      <c r="C14" s="8">
        <v>0.2535361960950355</v>
      </c>
      <c r="D14" s="10">
        <f t="shared" si="2"/>
        <v>0.9583860008</v>
      </c>
      <c r="E14" s="16"/>
    </row>
    <row r="15" ht="14.25" customHeight="1">
      <c r="A15" s="6">
        <f t="shared" si="4"/>
        <v>0.3</v>
      </c>
      <c r="B15" s="7">
        <v>2.0</v>
      </c>
      <c r="C15" s="8">
        <v>0.31992628898301834</v>
      </c>
      <c r="D15" s="10">
        <f t="shared" si="2"/>
        <v>1.526020535</v>
      </c>
      <c r="E15" s="16"/>
      <c r="G15" s="17"/>
    </row>
    <row r="16" ht="14.25" customHeight="1">
      <c r="A16" s="6">
        <f t="shared" ref="A16:A18" si="5">0.3*1.5</f>
        <v>0.45</v>
      </c>
      <c r="B16" s="7">
        <v>3.0</v>
      </c>
      <c r="C16" s="8">
        <v>0.585702990013764</v>
      </c>
      <c r="D16" s="10">
        <f t="shared" si="2"/>
        <v>11.50794881</v>
      </c>
    </row>
    <row r="17" ht="14.25" customHeight="1">
      <c r="A17" s="6">
        <f t="shared" si="5"/>
        <v>0.45</v>
      </c>
      <c r="B17" s="7">
        <v>3.0</v>
      </c>
      <c r="C17" s="8">
        <v>0.4427031454058482</v>
      </c>
      <c r="D17" s="10">
        <f t="shared" si="2"/>
        <v>6.574583636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</row>
    <row r="18" ht="14.25" customHeight="1">
      <c r="A18" s="6">
        <f t="shared" si="5"/>
        <v>0.45</v>
      </c>
      <c r="B18" s="7">
        <v>3.0</v>
      </c>
      <c r="C18" s="8">
        <v>0.5528741160925069</v>
      </c>
      <c r="D18" s="10">
        <f t="shared" si="2"/>
        <v>10.25405294</v>
      </c>
      <c r="G18" s="17"/>
    </row>
    <row r="19" ht="14.25" customHeight="1">
      <c r="A19" s="6">
        <f t="shared" ref="A19:A21" si="6">0.2*1.5</f>
        <v>0.3</v>
      </c>
      <c r="B19" s="7">
        <v>2.0</v>
      </c>
      <c r="C19" s="8">
        <v>0.1819925637838438</v>
      </c>
      <c r="D19" s="10">
        <f t="shared" si="2"/>
        <v>0.4938190131</v>
      </c>
      <c r="G19" s="17"/>
    </row>
    <row r="20" ht="14.25" customHeight="1">
      <c r="A20" s="6">
        <f t="shared" si="6"/>
        <v>0.3</v>
      </c>
      <c r="B20" s="7">
        <v>2.0</v>
      </c>
      <c r="C20" s="8">
        <v>0.14936966003465377</v>
      </c>
      <c r="D20" s="10">
        <f t="shared" si="2"/>
        <v>0.3326482983</v>
      </c>
      <c r="G20" s="17"/>
    </row>
    <row r="21" ht="14.25" customHeight="1">
      <c r="A21" s="6">
        <f t="shared" si="6"/>
        <v>0.3</v>
      </c>
      <c r="B21" s="7">
        <v>2.0</v>
      </c>
      <c r="C21" s="8">
        <v>0.2635796221322537</v>
      </c>
      <c r="D21" s="10">
        <f t="shared" si="2"/>
        <v>1.03581974</v>
      </c>
      <c r="G21" s="17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0"/>
    <col customWidth="1" min="3" max="3" width="10.71"/>
    <col customWidth="1" min="4" max="4" width="16.71"/>
    <col customWidth="1" min="5" max="5" width="15.57"/>
    <col customWidth="1" min="6" max="6" width="12.86"/>
    <col customWidth="1" min="7" max="7" width="15.86"/>
    <col customWidth="1" min="8" max="13" width="10.71"/>
    <col customWidth="1" min="14" max="14" width="11.86"/>
    <col customWidth="1" min="15" max="15" width="10.71"/>
    <col customWidth="1" min="16" max="16" width="20.0"/>
    <col customWidth="1" min="17" max="26" width="10.71"/>
  </cols>
  <sheetData>
    <row r="1" ht="14.2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ht="29.25" customHeight="1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  <c r="F2" s="5" t="s">
        <v>10</v>
      </c>
      <c r="G2" s="5" t="s">
        <v>11</v>
      </c>
      <c r="H2" s="5" t="s">
        <v>12</v>
      </c>
      <c r="I2" s="5" t="s">
        <v>13</v>
      </c>
      <c r="J2" s="9" t="s">
        <v>14</v>
      </c>
      <c r="K2" s="9" t="s">
        <v>15</v>
      </c>
      <c r="L2" s="9" t="s">
        <v>16</v>
      </c>
      <c r="M2" s="5" t="s">
        <v>17</v>
      </c>
      <c r="N2" s="5" t="s">
        <v>18</v>
      </c>
      <c r="O2" s="5" t="s">
        <v>19</v>
      </c>
      <c r="P2" s="5" t="s">
        <v>20</v>
      </c>
    </row>
    <row r="3" ht="31.5" customHeight="1">
      <c r="A3" s="11"/>
      <c r="B3" s="11"/>
      <c r="C3" s="11"/>
      <c r="D3" s="11"/>
      <c r="E3" s="11"/>
      <c r="F3" s="11"/>
      <c r="G3" s="11"/>
      <c r="H3" s="11"/>
      <c r="I3" s="11"/>
      <c r="J3" s="13">
        <v>0.01178</v>
      </c>
      <c r="K3" s="13">
        <v>4.6052</v>
      </c>
      <c r="L3" s="13">
        <v>2.9466</v>
      </c>
      <c r="M3" s="11"/>
      <c r="N3" s="11"/>
      <c r="O3" s="11"/>
      <c r="P3" s="11"/>
    </row>
    <row r="4" ht="14.25" customHeight="1">
      <c r="A4" s="7">
        <v>1.0</v>
      </c>
      <c r="B4" s="7" t="s">
        <v>21</v>
      </c>
      <c r="C4" s="7">
        <v>0.27692316</v>
      </c>
      <c r="D4" s="14">
        <v>0.13202117831618937</v>
      </c>
      <c r="E4" s="6">
        <f t="shared" ref="E4:E6" si="1">0.2*1.5</f>
        <v>0.3</v>
      </c>
      <c r="F4" s="7">
        <v>3.0</v>
      </c>
      <c r="G4" s="15">
        <f t="shared" ref="G4:G15" si="2">((E4)*981*(C4^2)*F4)/(4*PI()^2)</f>
        <v>1.715024536</v>
      </c>
      <c r="H4" s="7">
        <v>600.0</v>
      </c>
      <c r="I4" s="14">
        <f t="shared" ref="I4:I15" si="3">G4/H4</f>
        <v>0.002858374226</v>
      </c>
      <c r="J4" s="14">
        <f t="shared" ref="J4:J15" si="4">I4/J$3</f>
        <v>0.242646369</v>
      </c>
      <c r="K4" s="18">
        <v>4.6052</v>
      </c>
      <c r="L4" s="18">
        <v>2.9466</v>
      </c>
      <c r="M4" s="14">
        <f t="shared" ref="M4:M17" si="5">1-EXP(-K$3*J4^L$3)</f>
        <v>0.06850064755</v>
      </c>
      <c r="N4" s="14">
        <f t="shared" ref="N4:N17" si="6">M4*100</f>
        <v>6.850064755</v>
      </c>
      <c r="O4" s="19">
        <v>0.5528741160925069</v>
      </c>
      <c r="P4" s="19">
        <f t="shared" ref="P4:P17" si="7">C4/O4</f>
        <v>0.5008792272</v>
      </c>
      <c r="T4" s="12" t="s">
        <v>22</v>
      </c>
    </row>
    <row r="5" ht="14.25" customHeight="1">
      <c r="A5" s="7">
        <v>2.0</v>
      </c>
      <c r="B5" s="7" t="s">
        <v>23</v>
      </c>
      <c r="C5" s="14">
        <v>0.11106471</v>
      </c>
      <c r="D5" s="14">
        <f>C5/2.61957715</f>
        <v>0.04239795343</v>
      </c>
      <c r="E5" s="6">
        <f t="shared" si="1"/>
        <v>0.3</v>
      </c>
      <c r="F5" s="7">
        <v>2.0</v>
      </c>
      <c r="G5" s="14">
        <f t="shared" si="2"/>
        <v>0.1839131128</v>
      </c>
      <c r="H5" s="20">
        <v>300.0</v>
      </c>
      <c r="I5" s="14">
        <f t="shared" si="3"/>
        <v>0.0006130437092</v>
      </c>
      <c r="J5" s="14">
        <f t="shared" si="4"/>
        <v>0.0520410619</v>
      </c>
      <c r="K5" s="21"/>
      <c r="L5" s="21"/>
      <c r="M5" s="14">
        <f t="shared" si="5"/>
        <v>0.0007597470663</v>
      </c>
      <c r="N5" s="14">
        <f t="shared" si="6"/>
        <v>0.07597470663</v>
      </c>
      <c r="O5" s="19">
        <v>0.5666974572285094</v>
      </c>
      <c r="P5" s="19">
        <f t="shared" si="7"/>
        <v>0.1959858979</v>
      </c>
    </row>
    <row r="6" ht="14.25" customHeight="1">
      <c r="A6" s="7">
        <v>3.0</v>
      </c>
      <c r="B6" s="7" t="s">
        <v>24</v>
      </c>
      <c r="C6" s="22">
        <v>1.90029169</v>
      </c>
      <c r="D6" s="22">
        <f t="shared" ref="D6:D7" si="8">C6/1.90029169</f>
        <v>1</v>
      </c>
      <c r="E6" s="23">
        <f t="shared" si="1"/>
        <v>0.3</v>
      </c>
      <c r="F6" s="24">
        <v>2.0</v>
      </c>
      <c r="G6" s="25">
        <f t="shared" si="2"/>
        <v>53.83950513</v>
      </c>
      <c r="H6" s="24">
        <v>600.0</v>
      </c>
      <c r="I6" s="22">
        <f t="shared" si="3"/>
        <v>0.08973250856</v>
      </c>
      <c r="J6" s="22">
        <f t="shared" si="4"/>
        <v>7.617360658</v>
      </c>
      <c r="K6" s="21"/>
      <c r="L6" s="21"/>
      <c r="M6" s="22">
        <f t="shared" si="5"/>
        <v>1</v>
      </c>
      <c r="N6" s="22">
        <f t="shared" si="6"/>
        <v>100</v>
      </c>
      <c r="O6" s="26">
        <v>3.7939289548863906</v>
      </c>
      <c r="P6" s="19">
        <f t="shared" si="7"/>
        <v>0.5008769834</v>
      </c>
      <c r="Q6" s="27" t="s">
        <v>25</v>
      </c>
    </row>
    <row r="7" ht="14.25" customHeight="1">
      <c r="A7" s="7"/>
      <c r="B7" s="7"/>
      <c r="C7" s="14">
        <v>0.14217228</v>
      </c>
      <c r="D7" s="14">
        <f t="shared" si="8"/>
        <v>0.07481602995</v>
      </c>
      <c r="E7" s="6">
        <v>0.3</v>
      </c>
      <c r="F7" s="7">
        <v>2.0</v>
      </c>
      <c r="G7" s="15">
        <f t="shared" si="2"/>
        <v>0.3013633101</v>
      </c>
      <c r="H7" s="7">
        <v>600.0</v>
      </c>
      <c r="I7" s="14">
        <f t="shared" si="3"/>
        <v>0.0005022721836</v>
      </c>
      <c r="J7" s="14">
        <f t="shared" si="4"/>
        <v>0.04263770658</v>
      </c>
      <c r="K7" s="21"/>
      <c r="L7" s="21"/>
      <c r="M7" s="14">
        <f t="shared" si="5"/>
        <v>0.0004223838256</v>
      </c>
      <c r="N7" s="14">
        <f t="shared" si="6"/>
        <v>0.04223838256</v>
      </c>
      <c r="O7" s="19">
        <v>3.7939289548863906</v>
      </c>
      <c r="P7" s="19">
        <f t="shared" si="7"/>
        <v>0.03747362739</v>
      </c>
      <c r="Q7" s="27" t="s">
        <v>25</v>
      </c>
    </row>
    <row r="8" ht="14.25" customHeight="1">
      <c r="A8" s="7">
        <v>4.0</v>
      </c>
      <c r="B8" s="7" t="s">
        <v>26</v>
      </c>
      <c r="C8" s="14">
        <v>0.31331265</v>
      </c>
      <c r="D8" s="14">
        <f>C8/0.37243116</f>
        <v>0.8412632552</v>
      </c>
      <c r="E8" s="6">
        <f t="shared" ref="E8:E10" si="9">0.2*1.5</f>
        <v>0.3</v>
      </c>
      <c r="F8" s="7">
        <v>3.0</v>
      </c>
      <c r="G8" s="14">
        <f t="shared" si="2"/>
        <v>2.195369568</v>
      </c>
      <c r="H8" s="20">
        <v>600.0</v>
      </c>
      <c r="I8" s="14">
        <f t="shared" si="3"/>
        <v>0.003658949281</v>
      </c>
      <c r="J8" s="14">
        <f t="shared" si="4"/>
        <v>0.3106068999</v>
      </c>
      <c r="K8" s="21"/>
      <c r="L8" s="21"/>
      <c r="M8" s="14">
        <f t="shared" si="5"/>
        <v>0.1366126581</v>
      </c>
      <c r="N8" s="14">
        <f t="shared" si="6"/>
        <v>13.66126581</v>
      </c>
      <c r="O8" s="19">
        <v>0.37243115610079475</v>
      </c>
      <c r="P8" s="19">
        <f t="shared" si="7"/>
        <v>0.841263264</v>
      </c>
      <c r="T8" s="12" t="s">
        <v>22</v>
      </c>
    </row>
    <row r="9" ht="14.25" customHeight="1">
      <c r="A9" s="7">
        <v>5.0</v>
      </c>
      <c r="B9" s="7" t="s">
        <v>27</v>
      </c>
      <c r="C9" s="14">
        <v>0.59538694</v>
      </c>
      <c r="D9" s="14">
        <f>C9/0.38174204</f>
        <v>1.559657773</v>
      </c>
      <c r="E9" s="6">
        <f t="shared" si="9"/>
        <v>0.3</v>
      </c>
      <c r="F9" s="7">
        <v>3.0</v>
      </c>
      <c r="G9" s="15">
        <f t="shared" si="2"/>
        <v>7.927758066</v>
      </c>
      <c r="H9" s="7">
        <v>600.0</v>
      </c>
      <c r="I9" s="14">
        <f t="shared" si="3"/>
        <v>0.01321293011</v>
      </c>
      <c r="J9" s="14">
        <f t="shared" si="4"/>
        <v>1.121640926</v>
      </c>
      <c r="K9" s="21"/>
      <c r="L9" s="21"/>
      <c r="M9" s="14">
        <f t="shared" si="5"/>
        <v>0.9984332323</v>
      </c>
      <c r="N9" s="14">
        <f t="shared" si="6"/>
        <v>99.84332323</v>
      </c>
      <c r="O9" s="19">
        <v>0.21633174906382435</v>
      </c>
      <c r="P9" s="19">
        <f t="shared" si="7"/>
        <v>2.752193992</v>
      </c>
      <c r="T9" s="27" t="s">
        <v>22</v>
      </c>
    </row>
    <row r="10" ht="14.25" customHeight="1">
      <c r="A10" s="7">
        <v>6.0</v>
      </c>
      <c r="B10" s="7" t="s">
        <v>28</v>
      </c>
      <c r="C10" s="14">
        <v>0.44270315</v>
      </c>
      <c r="D10" s="14">
        <f>C10/0.76214284</f>
        <v>0.5808663767</v>
      </c>
      <c r="E10" s="6">
        <f t="shared" si="9"/>
        <v>0.3</v>
      </c>
      <c r="F10" s="7">
        <v>2.0</v>
      </c>
      <c r="G10" s="14">
        <f t="shared" si="2"/>
        <v>2.922037232</v>
      </c>
      <c r="H10" s="20">
        <v>600.0</v>
      </c>
      <c r="I10" s="14">
        <f t="shared" si="3"/>
        <v>0.004870062054</v>
      </c>
      <c r="J10" s="14">
        <f t="shared" si="4"/>
        <v>0.4134178314</v>
      </c>
      <c r="K10" s="21"/>
      <c r="L10" s="21"/>
      <c r="M10" s="14">
        <f t="shared" si="5"/>
        <v>0.2890229196</v>
      </c>
      <c r="N10" s="14">
        <f t="shared" si="6"/>
        <v>28.90229196</v>
      </c>
      <c r="O10" s="19">
        <v>0.5808651405403208</v>
      </c>
      <c r="P10" s="19">
        <f t="shared" si="7"/>
        <v>0.7621444619</v>
      </c>
    </row>
    <row r="11" ht="14.25" customHeight="1">
      <c r="A11" s="7">
        <v>7.0</v>
      </c>
      <c r="B11" s="7" t="s">
        <v>29</v>
      </c>
      <c r="C11" s="14">
        <v>0.20590791</v>
      </c>
      <c r="D11" s="14">
        <f t="shared" ref="D11:D12" si="10">C11/1.2800852</f>
        <v>0.1608548478</v>
      </c>
      <c r="E11" s="6">
        <f t="shared" ref="E11:E15" si="11">0.3*1.5</f>
        <v>0.45</v>
      </c>
      <c r="F11" s="7">
        <v>2.0</v>
      </c>
      <c r="G11" s="15">
        <f t="shared" si="2"/>
        <v>0.9481953933</v>
      </c>
      <c r="H11" s="7">
        <v>900.0</v>
      </c>
      <c r="I11" s="14">
        <f t="shared" si="3"/>
        <v>0.001053550437</v>
      </c>
      <c r="J11" s="14">
        <f t="shared" si="4"/>
        <v>0.08943552097</v>
      </c>
      <c r="K11" s="21"/>
      <c r="L11" s="21"/>
      <c r="M11" s="14">
        <f t="shared" si="5"/>
        <v>0.003740713342</v>
      </c>
      <c r="N11" s="14">
        <f t="shared" si="6"/>
        <v>0.3740713342</v>
      </c>
      <c r="O11" s="19">
        <v>0.3056711162192151</v>
      </c>
      <c r="P11" s="19">
        <f t="shared" si="7"/>
        <v>0.6736256685</v>
      </c>
      <c r="Q11" s="27" t="s">
        <v>25</v>
      </c>
      <c r="R11" s="12"/>
      <c r="S11" s="12"/>
      <c r="T11" s="12"/>
      <c r="U11" s="12"/>
      <c r="V11" s="12"/>
      <c r="W11" s="12"/>
      <c r="X11" s="12"/>
      <c r="Y11" s="12"/>
      <c r="Z11" s="12"/>
    </row>
    <row r="12" ht="14.25" customHeight="1">
      <c r="A12" s="7"/>
      <c r="B12" s="7"/>
      <c r="C12" s="22">
        <v>2.04640845</v>
      </c>
      <c r="D12" s="22">
        <f t="shared" si="10"/>
        <v>1.598650191</v>
      </c>
      <c r="E12" s="23">
        <f t="shared" si="11"/>
        <v>0.45</v>
      </c>
      <c r="F12" s="24">
        <v>2.0</v>
      </c>
      <c r="G12" s="25">
        <f t="shared" si="2"/>
        <v>93.65617588</v>
      </c>
      <c r="H12" s="24">
        <v>900.0</v>
      </c>
      <c r="I12" s="22">
        <f t="shared" si="3"/>
        <v>0.1040624176</v>
      </c>
      <c r="J12" s="22">
        <f t="shared" si="4"/>
        <v>8.833821532</v>
      </c>
      <c r="K12" s="21"/>
      <c r="L12" s="21"/>
      <c r="M12" s="22">
        <f t="shared" si="5"/>
        <v>1</v>
      </c>
      <c r="N12" s="22">
        <f t="shared" si="6"/>
        <v>100</v>
      </c>
      <c r="O12" s="26">
        <v>0.3056711162192151</v>
      </c>
      <c r="P12" s="19">
        <f t="shared" si="7"/>
        <v>6.69480478</v>
      </c>
      <c r="Q12" s="27" t="s">
        <v>25</v>
      </c>
    </row>
    <row r="13" ht="14.25" customHeight="1">
      <c r="A13" s="7">
        <v>8.0</v>
      </c>
      <c r="B13" s="7" t="s">
        <v>30</v>
      </c>
      <c r="C13" s="14">
        <v>0.2008855</v>
      </c>
      <c r="D13" s="14">
        <f>C13/0.2008855</f>
        <v>1</v>
      </c>
      <c r="E13" s="6">
        <f t="shared" si="11"/>
        <v>0.45</v>
      </c>
      <c r="F13" s="7">
        <v>2.0</v>
      </c>
      <c r="G13" s="14">
        <f t="shared" si="2"/>
        <v>0.902503637</v>
      </c>
      <c r="H13" s="20">
        <v>900.0</v>
      </c>
      <c r="I13" s="14">
        <f t="shared" si="3"/>
        <v>0.001002781819</v>
      </c>
      <c r="J13" s="14">
        <f t="shared" si="4"/>
        <v>0.08512579108</v>
      </c>
      <c r="K13" s="21"/>
      <c r="L13" s="21"/>
      <c r="M13" s="14">
        <f t="shared" si="5"/>
        <v>0.003234918252</v>
      </c>
      <c r="N13" s="14">
        <f t="shared" si="6"/>
        <v>0.3234918252</v>
      </c>
      <c r="O13" s="19">
        <v>1.378511758705302</v>
      </c>
      <c r="P13" s="19">
        <f t="shared" si="7"/>
        <v>0.1457263594</v>
      </c>
      <c r="Q13" s="27" t="s">
        <v>25</v>
      </c>
      <c r="R13" s="12"/>
      <c r="S13" s="12"/>
      <c r="T13" s="12"/>
      <c r="U13" s="12"/>
      <c r="V13" s="12"/>
      <c r="W13" s="12"/>
      <c r="X13" s="12"/>
      <c r="Y13" s="12"/>
      <c r="Z13" s="12"/>
    </row>
    <row r="14" ht="14.25" customHeight="1">
      <c r="A14" s="7">
        <v>9.0</v>
      </c>
      <c r="B14" s="7" t="s">
        <v>31</v>
      </c>
      <c r="C14" s="14">
        <v>0.23296556</v>
      </c>
      <c r="D14" s="14">
        <f>C14/0.24475969</f>
        <v>0.9518134297</v>
      </c>
      <c r="E14" s="6">
        <f t="shared" si="11"/>
        <v>0.45</v>
      </c>
      <c r="F14" s="7">
        <v>2.0</v>
      </c>
      <c r="G14" s="15">
        <f t="shared" si="2"/>
        <v>1.21376672</v>
      </c>
      <c r="H14" s="7">
        <v>600.0</v>
      </c>
      <c r="I14" s="14">
        <f t="shared" si="3"/>
        <v>0.002022944533</v>
      </c>
      <c r="J14" s="14">
        <f t="shared" si="4"/>
        <v>0.1717270402</v>
      </c>
      <c r="K14" s="21"/>
      <c r="L14" s="21"/>
      <c r="M14" s="14">
        <f t="shared" si="5"/>
        <v>0.02529718257</v>
      </c>
      <c r="N14" s="14">
        <f t="shared" si="6"/>
        <v>2.529718257</v>
      </c>
      <c r="O14" s="19">
        <v>0.3633470072923744</v>
      </c>
      <c r="P14" s="19">
        <f t="shared" si="7"/>
        <v>0.6411654846</v>
      </c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4.25" customHeight="1">
      <c r="A15" s="7">
        <v>10.0</v>
      </c>
      <c r="B15" s="7" t="s">
        <v>32</v>
      </c>
      <c r="C15" s="14">
        <v>0.19661778</v>
      </c>
      <c r="D15" s="14">
        <f>C15/0.86255229</f>
        <v>0.2279488238</v>
      </c>
      <c r="E15" s="6">
        <f t="shared" si="11"/>
        <v>0.45</v>
      </c>
      <c r="F15" s="7">
        <v>2.0</v>
      </c>
      <c r="G15" s="14">
        <f t="shared" si="2"/>
        <v>0.8645644155</v>
      </c>
      <c r="H15" s="20">
        <v>900.0</v>
      </c>
      <c r="I15" s="14">
        <f t="shared" si="3"/>
        <v>0.0009606271284</v>
      </c>
      <c r="J15" s="14">
        <f t="shared" si="4"/>
        <v>0.08154729443</v>
      </c>
      <c r="K15" s="21"/>
      <c r="L15" s="21"/>
      <c r="M15" s="14">
        <f t="shared" si="5"/>
        <v>0.002850940051</v>
      </c>
      <c r="N15" s="14">
        <f t="shared" si="6"/>
        <v>0.2850940051</v>
      </c>
      <c r="O15" s="19">
        <v>0.21633174906382435</v>
      </c>
      <c r="P15" s="19">
        <f t="shared" si="7"/>
        <v>0.9088715866</v>
      </c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4.25" customHeight="1">
      <c r="A16" s="7">
        <v>11.0</v>
      </c>
      <c r="B16" s="7" t="s">
        <v>33</v>
      </c>
      <c r="C16" s="22"/>
      <c r="D16" s="22"/>
      <c r="E16" s="23"/>
      <c r="F16" s="24"/>
      <c r="G16" s="22"/>
      <c r="H16" s="28"/>
      <c r="I16" s="22"/>
      <c r="J16" s="22"/>
      <c r="K16" s="21"/>
      <c r="L16" s="21"/>
      <c r="M16" s="22">
        <f t="shared" si="5"/>
        <v>0</v>
      </c>
      <c r="N16" s="22">
        <f t="shared" si="6"/>
        <v>0</v>
      </c>
      <c r="O16" s="26"/>
      <c r="P16" s="19" t="str">
        <f t="shared" si="7"/>
        <v>#DIV/0!</v>
      </c>
      <c r="Q16" s="27" t="s">
        <v>25</v>
      </c>
    </row>
    <row r="17" ht="14.25" customHeight="1">
      <c r="A17" s="7">
        <v>12.0</v>
      </c>
      <c r="B17" s="7" t="s">
        <v>34</v>
      </c>
      <c r="C17" s="22"/>
      <c r="D17" s="22"/>
      <c r="E17" s="23"/>
      <c r="F17" s="24"/>
      <c r="G17" s="22"/>
      <c r="H17" s="28"/>
      <c r="I17" s="22"/>
      <c r="J17" s="22"/>
      <c r="K17" s="11"/>
      <c r="L17" s="11"/>
      <c r="M17" s="22">
        <f t="shared" si="5"/>
        <v>0</v>
      </c>
      <c r="N17" s="22">
        <f t="shared" si="6"/>
        <v>0</v>
      </c>
      <c r="O17" s="26"/>
      <c r="P17" s="19" t="str">
        <f t="shared" si="7"/>
        <v>#DIV/0!</v>
      </c>
    </row>
    <row r="18" ht="14.25" customHeight="1">
      <c r="A18" s="7">
        <v>13.0</v>
      </c>
      <c r="B18" s="7" t="s">
        <v>35</v>
      </c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</row>
    <row r="19" ht="14.25" customHeight="1">
      <c r="A19" s="7">
        <v>14.0</v>
      </c>
      <c r="B19" s="7" t="s">
        <v>36</v>
      </c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</row>
    <row r="20" ht="14.25" customHeight="1">
      <c r="A20" s="7">
        <v>15.0</v>
      </c>
      <c r="B20" s="7" t="s">
        <v>37</v>
      </c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</row>
    <row r="21" ht="14.25" customHeight="1">
      <c r="A21" s="7">
        <v>16.0</v>
      </c>
      <c r="B21" s="7" t="s">
        <v>38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</row>
    <row r="22" ht="14.25" customHeight="1">
      <c r="A22" s="7">
        <v>17.0</v>
      </c>
      <c r="B22" s="7" t="s">
        <v>39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</row>
    <row r="23" ht="14.25" customHeight="1">
      <c r="A23" s="7">
        <v>18.0</v>
      </c>
      <c r="B23" s="7" t="s">
        <v>40</v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</row>
    <row r="24" ht="14.25" customHeight="1">
      <c r="A24" s="7">
        <v>19.0</v>
      </c>
      <c r="B24" s="7" t="s">
        <v>41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</row>
    <row r="25" ht="14.25" customHeight="1">
      <c r="A25" s="7">
        <v>20.0</v>
      </c>
      <c r="B25" s="29" t="s">
        <v>42</v>
      </c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</row>
    <row r="26" ht="14.25" customHeight="1">
      <c r="A26" s="7">
        <v>21.0</v>
      </c>
      <c r="B26" s="29" t="s">
        <v>43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</row>
    <row r="27" ht="14.25" customHeight="1">
      <c r="A27" s="7">
        <v>22.0</v>
      </c>
      <c r="B27" s="29" t="s">
        <v>44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</row>
    <row r="28" ht="14.25" customHeight="1">
      <c r="A28" s="7">
        <v>23.0</v>
      </c>
      <c r="B28" s="29" t="s">
        <v>45</v>
      </c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</row>
    <row r="29" ht="14.25" customHeight="1">
      <c r="A29" s="7">
        <v>24.0</v>
      </c>
      <c r="B29" s="29" t="s">
        <v>46</v>
      </c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</row>
    <row r="30" ht="14.25" customHeight="1">
      <c r="A30" s="7">
        <v>25.0</v>
      </c>
      <c r="B30" s="29" t="s">
        <v>47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</row>
    <row r="31" ht="14.25" customHeight="1">
      <c r="A31" s="7">
        <v>26.0</v>
      </c>
      <c r="B31" s="29" t="s">
        <v>48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</row>
    <row r="32" ht="14.25" customHeight="1">
      <c r="A32" s="7">
        <v>27.0</v>
      </c>
      <c r="B32" s="29" t="s">
        <v>49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6">
    <mergeCell ref="G2:G3"/>
    <mergeCell ref="H2:H3"/>
    <mergeCell ref="I2:I3"/>
    <mergeCell ref="M2:M3"/>
    <mergeCell ref="K4:K17"/>
    <mergeCell ref="L4:L17"/>
    <mergeCell ref="N2:N3"/>
    <mergeCell ref="O2:O3"/>
    <mergeCell ref="A1:P1"/>
    <mergeCell ref="A2:A3"/>
    <mergeCell ref="B2:B3"/>
    <mergeCell ref="C2:C3"/>
    <mergeCell ref="D2:D3"/>
    <mergeCell ref="E2:E3"/>
    <mergeCell ref="F2:F3"/>
    <mergeCell ref="P2:P3"/>
  </mergeCells>
  <printOptions/>
  <pageMargins bottom="0.75" footer="0.0" header="0.0" left="0.7" right="0.7" top="0.75"/>
  <pageSetup orientation="portrait"/>
  <drawing r:id="rId1"/>
</worksheet>
</file>